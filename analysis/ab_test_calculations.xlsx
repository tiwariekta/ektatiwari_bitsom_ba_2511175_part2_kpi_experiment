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/>
  <mc:AlternateContent xmlns:mc="http://schemas.openxmlformats.org/markup-compatibility/2006">
    <mc:Choice Requires="x15">
      <x15ac:absPath xmlns:x15ac="http://schemas.microsoft.com/office/spreadsheetml/2010/11/ac" url="https://d.docs.live.net/a798b199b3ef0d01/Ekta/Ekta/Learnings/BitSoM/Assignment/Capstone Project/part2_kpi_experiment/analysis/"/>
    </mc:Choice>
  </mc:AlternateContent>
  <xr:revisionPtr revIDLastSave="10" documentId="11_2B5924EF5490454A787CD093551510344D07F177" xr6:coauthVersionLast="47" xr6:coauthVersionMax="47" xr10:uidLastSave="{2E9CDDA0-D84A-43FB-B1B1-725D2BD32574}"/>
  <bookViews>
    <workbookView xWindow="-120" yWindow="-120" windowWidth="29040" windowHeight="15720" xr2:uid="{00000000-000D-0000-FFFF-FFFF00000000}"/>
  </bookViews>
  <sheets>
    <sheet name="AB Test" sheetId="1" r:id="rId1"/>
  </sheets>
  <calcPr calcId="191029"/>
</workbook>
</file>

<file path=xl/calcChain.xml><?xml version="1.0" encoding="utf-8"?>
<calcChain xmlns="http://schemas.openxmlformats.org/spreadsheetml/2006/main">
  <c r="B13" i="1" l="1"/>
  <c r="B17" i="1" s="1"/>
  <c r="B10" i="1"/>
  <c r="B11" i="1" s="1"/>
  <c r="B8" i="1"/>
  <c r="B7" i="1"/>
  <c r="B12" i="1" l="1"/>
  <c r="B15" i="1"/>
</calcChain>
</file>

<file path=xl/sharedStrings.xml><?xml version="1.0" encoding="utf-8"?>
<sst xmlns="http://schemas.openxmlformats.org/spreadsheetml/2006/main" count="14" uniqueCount="14">
  <si>
    <t>Metric</t>
  </si>
  <si>
    <t>Value</t>
  </si>
  <si>
    <t>Control Users</t>
  </si>
  <si>
    <t>Treatment Users</t>
  </si>
  <si>
    <t>Control Conversions</t>
  </si>
  <si>
    <t>Treatment Conversions</t>
  </si>
  <si>
    <t>Control Conversion Rate</t>
  </si>
  <si>
    <t>Treatment Conversion Rate</t>
  </si>
  <si>
    <t>Pooled Conversion Rate</t>
  </si>
  <si>
    <t>Standard Error</t>
  </si>
  <si>
    <t>Z Score</t>
  </si>
  <si>
    <t>P Value</t>
  </si>
  <si>
    <t>Decision</t>
  </si>
  <si>
    <t>Interpretation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</si>
</sst>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tabSelected="1" workbookViewId="0"/>
  </sheetViews>
  <sheetFormatPr defaultRowHeight="15" x14ac:dyDescent="0.25"/>
  <cols>
    <col min="1" max="1" width="25.7109375" bestFit="1" customWidth="1"/>
    <col min="2" max="2" width="62.42578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690</v>
      </c>
    </row>
    <row r="3" spans="1:2" x14ac:dyDescent="0.25">
      <c r="A3" t="s">
        <v>3</v>
      </c>
      <c r="B3">
        <v>710</v>
      </c>
    </row>
    <row r="4" spans="1:2" x14ac:dyDescent="0.25">
      <c r="A4" t="s">
        <v>4</v>
      </c>
      <c r="B4">
        <v>22</v>
      </c>
    </row>
    <row r="5" spans="1:2" x14ac:dyDescent="0.25">
      <c r="A5" t="s">
        <v>5</v>
      </c>
      <c r="B5">
        <v>50</v>
      </c>
    </row>
    <row r="7" spans="1:2" x14ac:dyDescent="0.25">
      <c r="A7" t="s">
        <v>6</v>
      </c>
      <c r="B7">
        <f>B4/B2</f>
        <v>3.1884057971014491E-2</v>
      </c>
    </row>
    <row r="8" spans="1:2" x14ac:dyDescent="0.25">
      <c r="A8" t="s">
        <v>7</v>
      </c>
      <c r="B8">
        <f>B5/B3</f>
        <v>7.0422535211267609E-2</v>
      </c>
    </row>
    <row r="10" spans="1:2" x14ac:dyDescent="0.25">
      <c r="A10" t="s">
        <v>8</v>
      </c>
      <c r="B10">
        <f>(B4+B5)/(B2+B3)</f>
        <v>5.1428571428571428E-2</v>
      </c>
    </row>
    <row r="11" spans="1:2" x14ac:dyDescent="0.25">
      <c r="A11" t="s">
        <v>9</v>
      </c>
      <c r="B11">
        <f>SQRT(B10*(1-B10)*((1/B2)+(1/B3)))</f>
        <v>1.1807217085124241E-2</v>
      </c>
    </row>
    <row r="12" spans="1:2" x14ac:dyDescent="0.25">
      <c r="A12" t="s">
        <v>10</v>
      </c>
      <c r="B12">
        <f>(B8-B7)/B11</f>
        <v>3.263976342808776</v>
      </c>
    </row>
    <row r="13" spans="1:2" x14ac:dyDescent="0.25">
      <c r="A13" t="s">
        <v>11</v>
      </c>
      <c r="B13">
        <f>1-_xlfn.NORM.S.DIST(B12,TRUE)</f>
        <v>5.4930169094646875E-4</v>
      </c>
    </row>
    <row r="15" spans="1:2" x14ac:dyDescent="0.25">
      <c r="A15" s="1" t="s">
        <v>12</v>
      </c>
      <c r="B15" s="1" t="str">
        <f>IF(B13&lt;0.05,"Reject H0","Fail to Reject H0")</f>
        <v>Reject H0</v>
      </c>
    </row>
    <row r="17" spans="1:2" x14ac:dyDescent="0.25">
      <c r="A17" s="1" t="s">
        <v>13</v>
      </c>
      <c r="B17" s="1" t="str">
        <f>IF(B13&lt;0.05,"Treatment Significantly Improves Conversion","No Significant Improvement")</f>
        <v>Treatment Significantly Improves Conversion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 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Ekta Tiwari</cp:lastModifiedBy>
  <dcterms:created xsi:type="dcterms:W3CDTF">2026-06-22T05:16:09Z</dcterms:created>
  <dcterms:modified xsi:type="dcterms:W3CDTF">2026-06-22T08:36:39Z</dcterms:modified>
</cp:coreProperties>
</file>